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B\18.11.2025\TIMES_STUDENTS_MID\SuppXLS\"/>
    </mc:Choice>
  </mc:AlternateContent>
  <xr:revisionPtr revIDLastSave="0" documentId="13_ncr:1_{7BB6ABD8-0B81-4E50-A354-DB30B252DF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EL COST" sheetId="2" r:id="rId1"/>
  </sheets>
  <calcPr calcId="191028"/>
</workbook>
</file>

<file path=xl/calcChain.xml><?xml version="1.0" encoding="utf-8"?>
<calcChain xmlns="http://schemas.openxmlformats.org/spreadsheetml/2006/main">
  <c r="E21" i="2" l="1"/>
  <c r="E40" i="2"/>
  <c r="E39" i="2"/>
  <c r="E38" i="2"/>
  <c r="E37" i="2"/>
  <c r="E36" i="2"/>
  <c r="E35" i="2"/>
  <c r="E29" i="2"/>
  <c r="E30" i="2"/>
  <c r="E31" i="2"/>
  <c r="E32" i="2"/>
  <c r="E33" i="2"/>
  <c r="E28" i="2"/>
  <c r="E26" i="2"/>
  <c r="E25" i="2"/>
  <c r="E24" i="2"/>
  <c r="E23" i="2"/>
  <c r="E22" i="2"/>
  <c r="G36" i="2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F9" i="2"/>
  <c r="F10" i="2" s="1"/>
  <c r="F11" i="2" s="1"/>
  <c r="F12" i="2" s="1"/>
  <c r="G8" i="2"/>
  <c r="G9" i="2" s="1"/>
  <c r="G10" i="2" s="1"/>
  <c r="G11" i="2" s="1"/>
  <c r="G12" i="2" s="1"/>
  <c r="F8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<sst xmlns="http://schemas.openxmlformats.org/spreadsheetml/2006/main" count="88" uniqueCount="25">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</sst>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5" fontId="6" fillId="7" borderId="2" xfId="0" applyNumberFormat="1" applyFont="1" applyFill="1" applyBorder="1" applyAlignment="1">
      <alignment horizontal="center" vertical="center"/>
    </xf>
    <xf numFmtId="185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zoomScaleNormal="100" workbookViewId="0">
      <selection activeCell="E22" sqref="E22"/>
    </sheetView>
  </sheetViews>
  <sheetFormatPr defaultRowHeight="15" x14ac:dyDescent="0.25"/>
  <cols>
    <col min="1" max="1" width="2.85546875" customWidth="1"/>
    <col min="2" max="2" width="12.140625" customWidth="1"/>
    <col min="3" max="3" width="17.140625" customWidth="1"/>
    <col min="4" max="4" width="10.7109375" customWidth="1"/>
    <col min="5" max="5" width="12" customWidth="1"/>
    <col min="6" max="7" width="15.7109375" customWidth="1"/>
    <col min="8" max="8" width="16.5703125" customWidth="1"/>
    <col min="9" max="9" width="8.42578125" bestFit="1" customWidth="1"/>
  </cols>
  <sheetData>
    <row r="1" spans="2:9" ht="12.75" customHeight="1" x14ac:dyDescent="0.25"/>
    <row r="2" spans="2:9" ht="18" x14ac:dyDescent="0.25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25"/>
    <row r="4" spans="2:9" x14ac:dyDescent="0.25">
      <c r="B4" s="3" t="s">
        <v>0</v>
      </c>
      <c r="H4" s="4"/>
      <c r="I4" s="4"/>
    </row>
    <row r="5" spans="2:9" ht="15.75" customHeight="1" x14ac:dyDescent="0.25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39" thickBot="1" x14ac:dyDescent="0.3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25">
      <c r="B7" s="5" t="s">
        <v>7</v>
      </c>
      <c r="C7" s="17" t="s">
        <v>8</v>
      </c>
      <c r="D7" s="5">
        <v>2025</v>
      </c>
      <c r="E7" s="6">
        <v>11.34</v>
      </c>
      <c r="F7" s="5" t="s">
        <v>15</v>
      </c>
      <c r="G7" s="5" t="s">
        <v>16</v>
      </c>
    </row>
    <row r="8" spans="2:9" ht="15.75" customHeight="1" x14ac:dyDescent="0.25">
      <c r="B8" s="7" t="s">
        <v>7</v>
      </c>
      <c r="C8" s="18" t="s">
        <v>8</v>
      </c>
      <c r="D8" s="7">
        <v>2030</v>
      </c>
      <c r="E8" s="8">
        <v>11.77</v>
      </c>
      <c r="F8" s="7" t="str">
        <f>F7</f>
        <v>MIN_HC</v>
      </c>
      <c r="G8" s="7" t="str">
        <f>G7</f>
        <v>HC</v>
      </c>
    </row>
    <row r="9" spans="2:9" ht="15.75" customHeight="1" x14ac:dyDescent="0.25">
      <c r="B9" s="5" t="s">
        <v>7</v>
      </c>
      <c r="C9" s="17" t="s">
        <v>8</v>
      </c>
      <c r="D9" s="5">
        <v>2035</v>
      </c>
      <c r="E9" s="6">
        <v>11.77</v>
      </c>
      <c r="F9" s="5" t="str">
        <f t="shared" ref="F9:F12" si="0">F8</f>
        <v>MIN_HC</v>
      </c>
      <c r="G9" s="5" t="str">
        <f t="shared" ref="G9:G12" si="1">G8</f>
        <v>HC</v>
      </c>
    </row>
    <row r="10" spans="2:9" ht="15.75" customHeight="1" x14ac:dyDescent="0.25">
      <c r="B10" s="7" t="s">
        <v>7</v>
      </c>
      <c r="C10" s="18" t="s">
        <v>8</v>
      </c>
      <c r="D10" s="7">
        <v>2040</v>
      </c>
      <c r="E10" s="8">
        <v>11.77</v>
      </c>
      <c r="F10" s="7" t="str">
        <f t="shared" si="0"/>
        <v>MIN_HC</v>
      </c>
      <c r="G10" s="7" t="str">
        <f t="shared" si="1"/>
        <v>HC</v>
      </c>
    </row>
    <row r="11" spans="2:9" ht="15.75" customHeight="1" x14ac:dyDescent="0.25">
      <c r="B11" s="5" t="s">
        <v>7</v>
      </c>
      <c r="C11" s="17" t="s">
        <v>8</v>
      </c>
      <c r="D11" s="5">
        <v>2045</v>
      </c>
      <c r="E11" s="6">
        <v>11.77</v>
      </c>
      <c r="F11" s="5" t="str">
        <f t="shared" si="0"/>
        <v>MIN_HC</v>
      </c>
      <c r="G11" s="5" t="str">
        <f t="shared" si="1"/>
        <v>HC</v>
      </c>
    </row>
    <row r="12" spans="2:9" ht="15.75" customHeight="1" x14ac:dyDescent="0.25">
      <c r="B12" s="7" t="s">
        <v>7</v>
      </c>
      <c r="C12" s="18" t="s">
        <v>8</v>
      </c>
      <c r="D12" s="7">
        <v>2050</v>
      </c>
      <c r="E12" s="8">
        <v>11.77</v>
      </c>
      <c r="F12" s="7" t="str">
        <f t="shared" si="0"/>
        <v>MIN_HC</v>
      </c>
      <c r="G12" s="7" t="str">
        <f t="shared" si="1"/>
        <v>HC</v>
      </c>
    </row>
    <row r="13" spans="2:9" s="1" customFormat="1" ht="15.75" customHeight="1" x14ac:dyDescent="0.25">
      <c r="B13" s="11" t="s">
        <v>14</v>
      </c>
      <c r="C13" s="11"/>
      <c r="D13" s="11"/>
      <c r="E13" s="11"/>
      <c r="F13" s="11"/>
      <c r="G13" s="11"/>
    </row>
    <row r="14" spans="2:9" ht="15.75" customHeight="1" x14ac:dyDescent="0.25">
      <c r="B14" s="5" t="s">
        <v>7</v>
      </c>
      <c r="C14" s="17" t="s">
        <v>8</v>
      </c>
      <c r="D14" s="5">
        <v>2025</v>
      </c>
      <c r="E14" s="6">
        <v>6.01</v>
      </c>
      <c r="F14" s="5" t="s">
        <v>17</v>
      </c>
      <c r="G14" s="5" t="s">
        <v>18</v>
      </c>
    </row>
    <row r="15" spans="2:9" ht="15.75" customHeight="1" x14ac:dyDescent="0.25">
      <c r="B15" s="7" t="s">
        <v>7</v>
      </c>
      <c r="C15" s="18" t="s">
        <v>8</v>
      </c>
      <c r="D15" s="7">
        <v>2030</v>
      </c>
      <c r="E15" s="8">
        <v>5.93</v>
      </c>
      <c r="F15" s="7" t="str">
        <f>F14</f>
        <v>MIN_BC</v>
      </c>
      <c r="G15" s="7" t="str">
        <f>G14</f>
        <v>BC</v>
      </c>
    </row>
    <row r="16" spans="2:9" ht="15.75" customHeight="1" x14ac:dyDescent="0.25">
      <c r="B16" s="5" t="s">
        <v>7</v>
      </c>
      <c r="C16" s="17" t="s">
        <v>8</v>
      </c>
      <c r="D16" s="5">
        <v>2035</v>
      </c>
      <c r="E16" s="6">
        <v>5.86</v>
      </c>
      <c r="F16" s="5" t="str">
        <f t="shared" ref="F16:F19" si="2">F15</f>
        <v>MIN_BC</v>
      </c>
      <c r="G16" s="5" t="str">
        <f t="shared" ref="G16:G19" si="3">G15</f>
        <v>BC</v>
      </c>
    </row>
    <row r="17" spans="2:7" ht="15.75" customHeight="1" x14ac:dyDescent="0.25">
      <c r="B17" s="7" t="s">
        <v>7</v>
      </c>
      <c r="C17" s="18" t="s">
        <v>8</v>
      </c>
      <c r="D17" s="7">
        <v>2040</v>
      </c>
      <c r="E17" s="8">
        <v>5.77</v>
      </c>
      <c r="F17" s="7" t="str">
        <f t="shared" si="2"/>
        <v>MIN_BC</v>
      </c>
      <c r="G17" s="7" t="str">
        <f t="shared" si="3"/>
        <v>BC</v>
      </c>
    </row>
    <row r="18" spans="2:7" ht="15.75" customHeight="1" x14ac:dyDescent="0.25">
      <c r="B18" s="5" t="s">
        <v>7</v>
      </c>
      <c r="C18" s="17" t="s">
        <v>8</v>
      </c>
      <c r="D18" s="5">
        <v>2045</v>
      </c>
      <c r="E18" s="6">
        <v>5.68</v>
      </c>
      <c r="F18" s="5" t="str">
        <f t="shared" si="2"/>
        <v>MIN_BC</v>
      </c>
      <c r="G18" s="5" t="str">
        <f t="shared" si="3"/>
        <v>BC</v>
      </c>
    </row>
    <row r="19" spans="2:7" ht="15.75" customHeight="1" x14ac:dyDescent="0.25">
      <c r="B19" s="7" t="s">
        <v>7</v>
      </c>
      <c r="C19" s="18" t="s">
        <v>8</v>
      </c>
      <c r="D19" s="7">
        <v>2050</v>
      </c>
      <c r="E19" s="8">
        <v>5.6</v>
      </c>
      <c r="F19" s="7" t="str">
        <f t="shared" si="2"/>
        <v>MIN_BC</v>
      </c>
      <c r="G19" s="7" t="str">
        <f t="shared" si="3"/>
        <v>BC</v>
      </c>
    </row>
    <row r="20" spans="2:7" s="1" customFormat="1" ht="15.75" customHeight="1" x14ac:dyDescent="0.25">
      <c r="B20" s="11" t="s">
        <v>14</v>
      </c>
      <c r="C20" s="12"/>
      <c r="D20" s="12"/>
      <c r="E20" s="12"/>
      <c r="F20" s="12"/>
      <c r="G20" s="12"/>
    </row>
    <row r="21" spans="2:7" ht="15.75" customHeight="1" x14ac:dyDescent="0.25">
      <c r="B21" s="5" t="s">
        <v>7</v>
      </c>
      <c r="C21" s="17" t="s">
        <v>8</v>
      </c>
      <c r="D21" s="5">
        <v>2025</v>
      </c>
      <c r="E21" s="6">
        <f>30.08*1.1</f>
        <v>33.088000000000001</v>
      </c>
      <c r="F21" s="5" t="s">
        <v>19</v>
      </c>
      <c r="G21" s="5" t="s">
        <v>20</v>
      </c>
    </row>
    <row r="22" spans="2:7" ht="15.75" customHeight="1" x14ac:dyDescent="0.25">
      <c r="B22" s="7" t="s">
        <v>7</v>
      </c>
      <c r="C22" s="18" t="s">
        <v>8</v>
      </c>
      <c r="D22" s="7">
        <v>2030</v>
      </c>
      <c r="E22" s="8">
        <f>33.14*1.1</f>
        <v>36.454000000000001</v>
      </c>
      <c r="F22" s="7" t="str">
        <f>F21</f>
        <v>MIN_NAT-GAS</v>
      </c>
      <c r="G22" s="7" t="str">
        <f>G21</f>
        <v>NAT-GAS</v>
      </c>
    </row>
    <row r="23" spans="2:7" ht="15.75" customHeight="1" x14ac:dyDescent="0.25">
      <c r="B23" s="5" t="s">
        <v>7</v>
      </c>
      <c r="C23" s="17" t="s">
        <v>8</v>
      </c>
      <c r="D23" s="5">
        <v>2035</v>
      </c>
      <c r="E23" s="6">
        <f>34.88*1.1</f>
        <v>38.368000000000009</v>
      </c>
      <c r="F23" s="5" t="str">
        <f t="shared" ref="F23:F26" si="4">F22</f>
        <v>MIN_NAT-GAS</v>
      </c>
      <c r="G23" s="5" t="str">
        <f t="shared" ref="G23:G26" si="5">G22</f>
        <v>NAT-GAS</v>
      </c>
    </row>
    <row r="24" spans="2:7" ht="15.75" customHeight="1" x14ac:dyDescent="0.25">
      <c r="B24" s="7" t="s">
        <v>7</v>
      </c>
      <c r="C24" s="18" t="s">
        <v>8</v>
      </c>
      <c r="D24" s="7">
        <v>2040</v>
      </c>
      <c r="E24" s="8">
        <f>36.62*1.1</f>
        <v>40.282000000000004</v>
      </c>
      <c r="F24" s="7" t="str">
        <f t="shared" si="4"/>
        <v>MIN_NAT-GAS</v>
      </c>
      <c r="G24" s="7" t="str">
        <f t="shared" si="5"/>
        <v>NAT-GAS</v>
      </c>
    </row>
    <row r="25" spans="2:7" ht="15.75" customHeight="1" x14ac:dyDescent="0.25">
      <c r="B25" s="5" t="s">
        <v>7</v>
      </c>
      <c r="C25" s="17" t="s">
        <v>8</v>
      </c>
      <c r="D25" s="5">
        <v>2045</v>
      </c>
      <c r="E25" s="6">
        <f>39.02*1.1</f>
        <v>42.922000000000004</v>
      </c>
      <c r="F25" s="5" t="str">
        <f t="shared" si="4"/>
        <v>MIN_NAT-GAS</v>
      </c>
      <c r="G25" s="5" t="str">
        <f t="shared" si="5"/>
        <v>NAT-GAS</v>
      </c>
    </row>
    <row r="26" spans="2:7" ht="15.75" customHeight="1" x14ac:dyDescent="0.25">
      <c r="B26" s="7" t="s">
        <v>7</v>
      </c>
      <c r="C26" s="18" t="s">
        <v>8</v>
      </c>
      <c r="D26" s="7">
        <v>2050</v>
      </c>
      <c r="E26" s="8">
        <f>41.16*1.1</f>
        <v>45.276000000000003</v>
      </c>
      <c r="F26" s="7" t="str">
        <f t="shared" si="4"/>
        <v>MIN_NAT-GAS</v>
      </c>
      <c r="G26" s="7" t="str">
        <f t="shared" si="5"/>
        <v>NAT-GAS</v>
      </c>
    </row>
    <row r="27" spans="2:7" s="1" customFormat="1" ht="15.75" customHeight="1" x14ac:dyDescent="0.25">
      <c r="B27" s="11" t="s">
        <v>14</v>
      </c>
      <c r="C27" s="11"/>
      <c r="D27" s="11"/>
      <c r="E27" s="11"/>
      <c r="F27" s="11"/>
      <c r="G27" s="11"/>
    </row>
    <row r="28" spans="2:7" ht="15.75" customHeight="1" x14ac:dyDescent="0.25">
      <c r="B28" s="5" t="s">
        <v>7</v>
      </c>
      <c r="C28" s="5" t="s">
        <v>8</v>
      </c>
      <c r="D28" s="5">
        <v>2025</v>
      </c>
      <c r="E28" s="6">
        <f>E21*1.2</f>
        <v>39.705599999999997</v>
      </c>
      <c r="F28" s="5" t="s">
        <v>21</v>
      </c>
      <c r="G28" s="5" t="s">
        <v>20</v>
      </c>
    </row>
    <row r="29" spans="2:7" ht="15.75" customHeight="1" x14ac:dyDescent="0.25">
      <c r="B29" s="7" t="s">
        <v>7</v>
      </c>
      <c r="C29" s="7" t="s">
        <v>8</v>
      </c>
      <c r="D29" s="7">
        <v>2030</v>
      </c>
      <c r="E29" s="6">
        <f t="shared" ref="E29:E33" si="6">E22*1.2</f>
        <v>43.744799999999998</v>
      </c>
      <c r="F29" s="7" t="str">
        <f>F28</f>
        <v>IMP_NAT-GAS</v>
      </c>
      <c r="G29" s="7" t="str">
        <f>G28</f>
        <v>NAT-GAS</v>
      </c>
    </row>
    <row r="30" spans="2:7" ht="15.75" customHeight="1" x14ac:dyDescent="0.25">
      <c r="B30" s="5" t="s">
        <v>7</v>
      </c>
      <c r="C30" s="5" t="s">
        <v>8</v>
      </c>
      <c r="D30" s="5">
        <v>2035</v>
      </c>
      <c r="E30" s="6">
        <f t="shared" si="6"/>
        <v>46.04160000000001</v>
      </c>
      <c r="F30" s="5" t="str">
        <f t="shared" ref="F30:F33" si="7">F29</f>
        <v>IMP_NAT-GAS</v>
      </c>
      <c r="G30" s="5" t="str">
        <f t="shared" ref="G30:G33" si="8">G29</f>
        <v>NAT-GAS</v>
      </c>
    </row>
    <row r="31" spans="2:7" ht="15.75" customHeight="1" x14ac:dyDescent="0.25">
      <c r="B31" s="7" t="s">
        <v>7</v>
      </c>
      <c r="C31" s="7" t="s">
        <v>8</v>
      </c>
      <c r="D31" s="7">
        <v>2040</v>
      </c>
      <c r="E31" s="6">
        <f t="shared" si="6"/>
        <v>48.3384</v>
      </c>
      <c r="F31" s="7" t="str">
        <f t="shared" si="7"/>
        <v>IMP_NAT-GAS</v>
      </c>
      <c r="G31" s="7" t="str">
        <f t="shared" si="8"/>
        <v>NAT-GAS</v>
      </c>
    </row>
    <row r="32" spans="2:7" ht="15.75" customHeight="1" x14ac:dyDescent="0.25">
      <c r="B32" s="5" t="s">
        <v>7</v>
      </c>
      <c r="C32" s="5" t="s">
        <v>8</v>
      </c>
      <c r="D32" s="5">
        <v>2045</v>
      </c>
      <c r="E32" s="6">
        <f t="shared" si="6"/>
        <v>51.506400000000006</v>
      </c>
      <c r="F32" s="5" t="str">
        <f t="shared" si="7"/>
        <v>IMP_NAT-GAS</v>
      </c>
      <c r="G32" s="5" t="str">
        <f t="shared" si="8"/>
        <v>NAT-GAS</v>
      </c>
    </row>
    <row r="33" spans="2:7" ht="15.75" customHeight="1" x14ac:dyDescent="0.25">
      <c r="B33" s="7" t="s">
        <v>7</v>
      </c>
      <c r="C33" s="7" t="s">
        <v>8</v>
      </c>
      <c r="D33" s="7">
        <v>2050</v>
      </c>
      <c r="E33" s="6">
        <f t="shared" si="6"/>
        <v>54.331200000000003</v>
      </c>
      <c r="F33" s="7" t="str">
        <f t="shared" si="7"/>
        <v>IMP_NAT-GAS</v>
      </c>
      <c r="G33" s="7" t="str">
        <f t="shared" si="8"/>
        <v>NAT-GAS</v>
      </c>
    </row>
    <row r="34" spans="2:7" ht="15.75" customHeight="1" x14ac:dyDescent="0.25">
      <c r="B34" s="11" t="s">
        <v>14</v>
      </c>
      <c r="C34" s="11"/>
      <c r="D34" s="11"/>
      <c r="E34" s="11"/>
      <c r="F34" s="11"/>
      <c r="G34" s="11"/>
    </row>
    <row r="35" spans="2:7" ht="15.75" customHeight="1" x14ac:dyDescent="0.25">
      <c r="B35" s="5" t="s">
        <v>7</v>
      </c>
      <c r="C35" s="5" t="s">
        <v>8</v>
      </c>
      <c r="D35" s="5">
        <v>2025</v>
      </c>
      <c r="E35" s="6">
        <f>3.68*1.1</f>
        <v>4.0480000000000009</v>
      </c>
      <c r="F35" s="5" t="s">
        <v>22</v>
      </c>
      <c r="G35" s="5" t="s">
        <v>9</v>
      </c>
    </row>
    <row r="36" spans="2:7" ht="15.75" customHeight="1" x14ac:dyDescent="0.25">
      <c r="B36" s="7" t="s">
        <v>7</v>
      </c>
      <c r="C36" s="7" t="s">
        <v>8</v>
      </c>
      <c r="D36" s="7">
        <v>2030</v>
      </c>
      <c r="E36" s="8">
        <f>3.825*1.1</f>
        <v>4.2075000000000005</v>
      </c>
      <c r="F36" s="7" t="str">
        <f>F35</f>
        <v>IMP_URAN</v>
      </c>
      <c r="G36" s="7" t="str">
        <f>G35</f>
        <v>URAN</v>
      </c>
    </row>
    <row r="37" spans="2:7" ht="15.75" customHeight="1" x14ac:dyDescent="0.25">
      <c r="B37" s="5" t="s">
        <v>7</v>
      </c>
      <c r="C37" s="5" t="s">
        <v>8</v>
      </c>
      <c r="D37" s="5">
        <v>2035</v>
      </c>
      <c r="E37" s="6">
        <f>3.935*1.1</f>
        <v>4.3285</v>
      </c>
      <c r="F37" s="5" t="str">
        <f t="shared" ref="F37:F40" si="9">F36</f>
        <v>IMP_URAN</v>
      </c>
      <c r="G37" s="5" t="str">
        <f t="shared" ref="G37:G40" si="10">G36</f>
        <v>URAN</v>
      </c>
    </row>
    <row r="38" spans="2:7" ht="15.75" customHeight="1" x14ac:dyDescent="0.25">
      <c r="B38" s="7" t="s">
        <v>7</v>
      </c>
      <c r="C38" s="7" t="s">
        <v>8</v>
      </c>
      <c r="D38" s="7">
        <v>2040</v>
      </c>
      <c r="E38" s="8">
        <f>4.08*1.1</f>
        <v>4.4880000000000004</v>
      </c>
      <c r="F38" s="7" t="str">
        <f t="shared" si="9"/>
        <v>IMP_URAN</v>
      </c>
      <c r="G38" s="7" t="str">
        <f t="shared" si="10"/>
        <v>URAN</v>
      </c>
    </row>
    <row r="39" spans="2:7" ht="15.75" customHeight="1" x14ac:dyDescent="0.25">
      <c r="B39" s="5" t="s">
        <v>7</v>
      </c>
      <c r="C39" s="5" t="s">
        <v>8</v>
      </c>
      <c r="D39" s="5">
        <v>2045</v>
      </c>
      <c r="E39" s="6">
        <f>4.481*1.1</f>
        <v>4.9291</v>
      </c>
      <c r="F39" s="5" t="str">
        <f t="shared" si="9"/>
        <v>IMP_URAN</v>
      </c>
      <c r="G39" s="5" t="str">
        <f t="shared" si="10"/>
        <v>URAN</v>
      </c>
    </row>
    <row r="40" spans="2:7" ht="15.75" customHeight="1" thickBot="1" x14ac:dyDescent="0.3">
      <c r="B40" s="9" t="s">
        <v>7</v>
      </c>
      <c r="C40" s="9" t="s">
        <v>8</v>
      </c>
      <c r="D40" s="9">
        <v>2050</v>
      </c>
      <c r="E40" s="10">
        <f>5.483*1.1</f>
        <v>6.0312999999999999</v>
      </c>
      <c r="F40" s="10" t="str">
        <f t="shared" si="9"/>
        <v>IMP_URAN</v>
      </c>
      <c r="G40" s="10" t="str">
        <f t="shared" si="10"/>
        <v>URAN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2009-05-27T15:40:55Z</dcterms:created>
  <dcterms:modified xsi:type="dcterms:W3CDTF">2025-11-18T08:00:02Z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